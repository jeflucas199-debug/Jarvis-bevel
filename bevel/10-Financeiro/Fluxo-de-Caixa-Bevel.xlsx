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çamentos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#,##0.00;(#,##0.00);&quot;-&quot;"/>
    <numFmt numFmtId="167" formatCode="#,##0;0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9"/>
    </font>
    <font>
      <name val="Arial"/>
      <b val="1"/>
      <color rgb="00FFFFFF"/>
    </font>
    <font>
      <name val="Arial"/>
      <color rgb="000000FF"/>
    </font>
    <font>
      <name val="Arial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091222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165" fontId="4" fillId="0" borderId="1" pivotButton="0" quotePrefix="0" xfId="0"/>
    <xf numFmtId="0" fontId="4" fillId="0" borderId="1" pivotButton="0" quotePrefix="0" xfId="0"/>
    <xf numFmtId="166" fontId="4" fillId="0" borderId="1" pivotButton="0" quotePrefix="0" xfId="0"/>
    <xf numFmtId="166" fontId="5" fillId="0" borderId="1" pivotButton="0" quotePrefix="0" xfId="0"/>
    <xf numFmtId="166" fontId="4" fillId="3" borderId="1" pivotButton="0" quotePrefix="0" xfId="0"/>
    <xf numFmtId="0" fontId="5" fillId="0" borderId="0" pivotButton="0" quotePrefix="0" xfId="0"/>
    <xf numFmtId="166" fontId="5" fillId="0" borderId="0" pivotButton="0" quotePrefix="0" xfId="0"/>
    <xf numFmtId="0" fontId="6" fillId="0" borderId="0" pivotButton="0" quotePrefix="0" xfId="0"/>
    <xf numFmtId="166" fontId="6" fillId="0" borderId="0" pivotButton="0" quotePrefix="0" xfId="0"/>
    <xf numFmtId="167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36" customWidth="1" min="4" max="4"/>
    <col width="13" customWidth="1" min="5" max="5"/>
    <col width="28" customWidth="1" min="6" max="6"/>
    <col width="12" customWidth="1" min="7" max="7"/>
    <col width="11" customWidth="1" min="8" max="8"/>
    <col width="12" customWidth="1" min="9" max="9"/>
    <col width="16" customWidth="1" min="10" max="10"/>
    <col width="58" customWidth="1" min="11" max="11"/>
  </cols>
  <sheetData>
    <row r="1">
      <c r="A1" s="1" t="inlineStr">
        <is>
          <t>Bevel — Fluxo de caixa (entradas e saídas)</t>
        </is>
      </c>
    </row>
    <row r="2">
      <c r="A2" s="2" t="inlineStr">
        <is>
          <t>Azul = dado digitado · Amarelo = falta preencher · Saldo só conta o que é Realizado e da Empresa. Datas marcadas 'Não' em 'Data exata?' são aproximadas.</t>
        </is>
      </c>
    </row>
    <row r="4">
      <c r="A4" s="3" t="inlineStr">
        <is>
          <t>Data</t>
        </is>
      </c>
      <c r="B4" s="3" t="inlineStr">
        <is>
          <t>Data exata?</t>
        </is>
      </c>
      <c r="C4" s="3" t="inlineStr">
        <is>
          <t>Tipo</t>
        </is>
      </c>
      <c r="D4" s="3" t="inlineStr">
        <is>
          <t>Descrição</t>
        </is>
      </c>
      <c r="E4" s="3" t="inlineStr">
        <is>
          <t>Categoria</t>
        </is>
      </c>
      <c r="F4" s="3" t="inlineStr">
        <is>
          <t>Quem pagou / onde caiu</t>
        </is>
      </c>
      <c r="G4" s="3" t="inlineStr">
        <is>
          <t>Valor (R$)</t>
        </is>
      </c>
      <c r="H4" s="3" t="inlineStr">
        <is>
          <t>Status</t>
        </is>
      </c>
      <c r="I4" s="3" t="inlineStr">
        <is>
          <t>Conta da empresa?</t>
        </is>
      </c>
      <c r="J4" s="3" t="inlineStr">
        <is>
          <t>Saldo acumulado realizado (R$)</t>
        </is>
      </c>
      <c r="K4" s="3" t="inlineStr">
        <is>
          <t>Observação / fonte</t>
        </is>
      </c>
    </row>
    <row r="5">
      <c r="A5" s="4" t="n">
        <v>46267</v>
      </c>
      <c r="B5" s="5" t="inlineStr">
        <is>
          <t>Sim</t>
        </is>
      </c>
      <c r="C5" s="5" t="inlineStr">
        <is>
          <t>Entrada</t>
        </is>
      </c>
      <c r="D5" s="5" t="inlineStr">
        <is>
          <t>Gabe — 1ª parcela (parte 1)</t>
        </is>
      </c>
      <c r="E5" s="5" t="inlineStr">
        <is>
          <t>Cliente</t>
        </is>
      </c>
      <c r="F5" s="5" t="inlineStr">
        <is>
          <t>Conta pessoal do Arthur</t>
        </is>
      </c>
      <c r="G5" s="6" t="n">
        <v>178.75</v>
      </c>
      <c r="H5" s="5" t="inlineStr">
        <is>
          <t>Realizado</t>
        </is>
      </c>
      <c r="I5" s="5" t="inlineStr">
        <is>
          <t>Sim</t>
        </is>
      </c>
      <c r="J5" s="7">
        <f>0+IF(AND(H5="Realizado",I5="Sim"),IF(C5="Entrada",1,-1)*N(G5),0)</f>
        <v/>
      </c>
      <c r="K5" s="5" t="inlineStr">
        <is>
          <t>Contrato assinado; regularizar repasse</t>
        </is>
      </c>
    </row>
    <row r="6">
      <c r="A6" s="4" t="n">
        <v>46290</v>
      </c>
      <c r="B6" s="5" t="inlineStr">
        <is>
          <t>Sim</t>
        </is>
      </c>
      <c r="C6" s="5" t="inlineStr">
        <is>
          <t>Entrada</t>
        </is>
      </c>
      <c r="D6" s="5" t="inlineStr">
        <is>
          <t>Gabe — 1ª parcela (parte 2)</t>
        </is>
      </c>
      <c r="E6" s="5" t="inlineStr">
        <is>
          <t>Cliente</t>
        </is>
      </c>
      <c r="F6" s="5" t="inlineStr">
        <is>
          <t>A confirmar</t>
        </is>
      </c>
      <c r="G6" s="6" t="n">
        <v>178.75</v>
      </c>
      <c r="H6" s="5" t="inlineStr">
        <is>
          <t>Realizado</t>
        </is>
      </c>
      <c r="I6" s="5" t="inlineStr">
        <is>
          <t>Sim</t>
        </is>
      </c>
      <c r="J6" s="7">
        <f>J5+IF(AND(H6="Realizado",I6="Sim"),IF(C6="Entrada",1,-1)*N(G6),0)</f>
        <v/>
      </c>
      <c r="K6" s="5" t="inlineStr">
        <is>
          <t>ClickUp: pagamento confirmado em 27/09</t>
        </is>
      </c>
    </row>
    <row r="7">
      <c r="A7" s="4" t="n">
        <v>46292</v>
      </c>
      <c r="B7" s="5" t="inlineStr">
        <is>
          <t>Não</t>
        </is>
      </c>
      <c r="C7" s="5" t="inlineStr">
        <is>
          <t>Saída</t>
        </is>
      </c>
      <c r="D7" s="5" t="inlineStr">
        <is>
          <t>Playbook (mensalidade)</t>
        </is>
      </c>
      <c r="E7" s="5" t="inlineStr">
        <is>
          <t>Ferramenta</t>
        </is>
      </c>
      <c r="F7" s="5" t="inlineStr">
        <is>
          <t>Cartão Lucas</t>
        </is>
      </c>
      <c r="G7" s="6" t="n">
        <v>29.9</v>
      </c>
      <c r="H7" s="5" t="inlineStr">
        <is>
          <t>Realizado</t>
        </is>
      </c>
      <c r="I7" s="5" t="inlineStr">
        <is>
          <t>Sim</t>
        </is>
      </c>
      <c r="J7" s="7">
        <f>J6+IF(AND(H7="Realizado",I7="Sim"),IF(C7="Entrada",1,-1)*N(G7),0)</f>
        <v/>
      </c>
      <c r="K7" s="5" t="inlineStr">
        <is>
          <t>Rateio out/2026 (Zé). Data = fechamento da fatura paga em 10/10</t>
        </is>
      </c>
    </row>
    <row r="8">
      <c r="A8" s="4" t="n">
        <v>46292</v>
      </c>
      <c r="B8" s="5" t="inlineStr">
        <is>
          <t>Não</t>
        </is>
      </c>
      <c r="C8" s="5" t="inlineStr">
        <is>
          <t>Saída</t>
        </is>
      </c>
      <c r="D8" s="5" t="inlineStr">
        <is>
          <t>Tokens</t>
        </is>
      </c>
      <c r="E8" s="5" t="inlineStr">
        <is>
          <t>IA / API</t>
        </is>
      </c>
      <c r="F8" s="5" t="inlineStr">
        <is>
          <t>Cartão Lucas</t>
        </is>
      </c>
      <c r="G8" s="6" t="n">
        <v>74.77</v>
      </c>
      <c r="H8" s="5" t="inlineStr">
        <is>
          <t>Realizado</t>
        </is>
      </c>
      <c r="I8" s="5" t="inlineStr">
        <is>
          <t>Sim</t>
        </is>
      </c>
      <c r="J8" s="7">
        <f>J7+IF(AND(H8="Realizado",I8="Sim"),IF(C8="Entrada",1,-1)*N(G8),0)</f>
        <v/>
      </c>
      <c r="K8" s="5" t="inlineStr">
        <is>
          <t>Rateio out/2026 (Zé). Data = fechamento da fatura</t>
        </is>
      </c>
    </row>
    <row r="9">
      <c r="A9" s="4" t="n">
        <v>46292</v>
      </c>
      <c r="B9" s="5" t="inlineStr">
        <is>
          <t>Não</t>
        </is>
      </c>
      <c r="C9" s="5" t="inlineStr">
        <is>
          <t>Saída</t>
        </is>
      </c>
      <c r="D9" s="5" t="inlineStr">
        <is>
          <t>Chips pré-pagos (3 números)</t>
        </is>
      </c>
      <c r="E9" s="5" t="inlineStr">
        <is>
          <t>Telefonia</t>
        </is>
      </c>
      <c r="F9" s="5" t="inlineStr">
        <is>
          <t>Arthur</t>
        </is>
      </c>
      <c r="G9" s="6" t="n">
        <v>90</v>
      </c>
      <c r="H9" s="5" t="inlineStr">
        <is>
          <t>Realizado</t>
        </is>
      </c>
      <c r="I9" s="5" t="inlineStr">
        <is>
          <t>Sim</t>
        </is>
      </c>
      <c r="J9" s="7">
        <f>J8+IF(AND(H9="Realizado",I9="Sim"),IF(C9="Entrada",1,-1)*N(G9),0)</f>
        <v/>
      </c>
      <c r="K9" s="5" t="inlineStr">
        <is>
          <t>Rateio out/2026; na planilha antiga aparece como custo de agosto</t>
        </is>
      </c>
    </row>
    <row r="10">
      <c r="A10" s="4" t="n">
        <v>46292</v>
      </c>
      <c r="B10" s="5" t="inlineStr">
        <is>
          <t>Não</t>
        </is>
      </c>
      <c r="C10" s="5" t="inlineStr">
        <is>
          <t>Saída</t>
        </is>
      </c>
      <c r="D10" s="5" t="inlineStr">
        <is>
          <t>Chip pré-pago (1 número)</t>
        </is>
      </c>
      <c r="E10" s="5" t="inlineStr">
        <is>
          <t>Telefonia</t>
        </is>
      </c>
      <c r="F10" s="5" t="inlineStr">
        <is>
          <t>Vitor</t>
        </is>
      </c>
      <c r="G10" s="6" t="n">
        <v>35</v>
      </c>
      <c r="H10" s="5" t="inlineStr">
        <is>
          <t>Realizado</t>
        </is>
      </c>
      <c r="I10" s="5" t="inlineStr">
        <is>
          <t>Sim</t>
        </is>
      </c>
      <c r="J10" s="7">
        <f>J9+IF(AND(H10="Realizado",I10="Sim"),IF(C10="Entrada",1,-1)*N(G10),0)</f>
        <v/>
      </c>
      <c r="K10" s="5" t="inlineStr">
        <is>
          <t>Rateio out/2026; na planilha antiga aparece como custo de agosto</t>
        </is>
      </c>
    </row>
    <row r="11">
      <c r="A11" s="4" t="n">
        <v>46292</v>
      </c>
      <c r="B11" s="5" t="inlineStr">
        <is>
          <t>Não</t>
        </is>
      </c>
      <c r="C11" s="5" t="inlineStr">
        <is>
          <t>Saída</t>
        </is>
      </c>
      <c r="D11" s="5" t="inlineStr">
        <is>
          <t>Claude — Zé</t>
        </is>
      </c>
      <c r="E11" s="5" t="inlineStr">
        <is>
          <t>Assinatura</t>
        </is>
      </c>
      <c r="F11" s="5" t="inlineStr">
        <is>
          <t>Cartão Lucas (Arthur reembolsa)</t>
        </is>
      </c>
      <c r="G11" s="6" t="n">
        <v>110</v>
      </c>
      <c r="H11" s="5" t="inlineStr">
        <is>
          <t>Realizado</t>
        </is>
      </c>
      <c r="I11" s="5" t="inlineStr">
        <is>
          <t>Não</t>
        </is>
      </c>
      <c r="J11" s="7">
        <f>J10+IF(AND(H11="Realizado",I11="Sim"),IF(C11="Entrada",1,-1)*N(G11),0)</f>
        <v/>
      </c>
      <c r="K11" s="5" t="inlineStr">
        <is>
          <t>Regra atual: cada sócio paga o próprio Claude</t>
        </is>
      </c>
    </row>
    <row r="12">
      <c r="A12" s="4" t="n">
        <v>46292</v>
      </c>
      <c r="B12" s="5" t="inlineStr">
        <is>
          <t>Não</t>
        </is>
      </c>
      <c r="C12" s="5" t="inlineStr">
        <is>
          <t>Saída</t>
        </is>
      </c>
      <c r="D12" s="5" t="inlineStr">
        <is>
          <t>Claude — VT</t>
        </is>
      </c>
      <c r="E12" s="5" t="inlineStr">
        <is>
          <t>Assinatura</t>
        </is>
      </c>
      <c r="F12" s="5" t="inlineStr">
        <is>
          <t>Cartão Lucas (Vitor reembolsa)</t>
        </is>
      </c>
      <c r="G12" s="6" t="n">
        <v>110</v>
      </c>
      <c r="H12" s="5" t="inlineStr">
        <is>
          <t>Realizado</t>
        </is>
      </c>
      <c r="I12" s="5" t="inlineStr">
        <is>
          <t>Não</t>
        </is>
      </c>
      <c r="J12" s="7">
        <f>J11+IF(AND(H12="Realizado",I12="Sim"),IF(C12="Entrada",1,-1)*N(G12),0)</f>
        <v/>
      </c>
      <c r="K12" s="5" t="inlineStr">
        <is>
          <t>Regra atual: cada sócio paga o próprio Claude</t>
        </is>
      </c>
    </row>
    <row r="13">
      <c r="A13" s="4" t="n">
        <v>46294</v>
      </c>
      <c r="B13" s="5" t="inlineStr">
        <is>
          <t>Não</t>
        </is>
      </c>
      <c r="C13" s="5" t="inlineStr">
        <is>
          <t>Saída</t>
        </is>
      </c>
      <c r="D13" s="5" t="inlineStr">
        <is>
          <t>Créditos API Gemini</t>
        </is>
      </c>
      <c r="E13" s="5" t="inlineStr">
        <is>
          <t>IA / API</t>
        </is>
      </c>
      <c r="F13" s="5" t="inlineStr">
        <is>
          <t>A confirmar</t>
        </is>
      </c>
      <c r="G13" s="8" t="n"/>
      <c r="H13" s="5" t="inlineStr">
        <is>
          <t>Realizado</t>
        </is>
      </c>
      <c r="I13" s="5" t="inlineStr">
        <is>
          <t>Sim</t>
        </is>
      </c>
      <c r="J13" s="7">
        <f>J12+IF(AND(H13="Realizado",I13="Sim"),IF(C13="Entrada",1,-1)*N(G13),0)</f>
        <v/>
      </c>
      <c r="K13" s="5" t="inlineStr">
        <is>
          <t>ClickUp 'Adicionar dinheiro do Gemini' concluída ~29/09; valor não registrado</t>
        </is>
      </c>
    </row>
    <row r="14">
      <c r="A14" s="4" t="n">
        <v>46295</v>
      </c>
      <c r="B14" s="5" t="inlineStr">
        <is>
          <t>Não</t>
        </is>
      </c>
      <c r="C14" s="5" t="inlineStr">
        <is>
          <t>Saída</t>
        </is>
      </c>
      <c r="D14" s="5" t="inlineStr">
        <is>
          <t>Chip do Gabe</t>
        </is>
      </c>
      <c r="E14" s="5" t="inlineStr">
        <is>
          <t>Telefonia</t>
        </is>
      </c>
      <c r="F14" s="5" t="inlineStr">
        <is>
          <t>Arthur</t>
        </is>
      </c>
      <c r="G14" s="8" t="n"/>
      <c r="H14" s="5" t="inlineStr">
        <is>
          <t>Realizado</t>
        </is>
      </c>
      <c r="I14" s="5" t="inlineStr">
        <is>
          <t>Sim</t>
        </is>
      </c>
      <c r="J14" s="7">
        <f>J13+IF(AND(H14="Realizado",I14="Sim"),IF(C14="Entrada",1,-1)*N(G14),0)</f>
        <v/>
      </c>
      <c r="K14" s="5" t="inlineStr">
        <is>
          <t>ClickUp 'Comprar chip - Morais Barbershop' concluída ~30/09; valor não registrado</t>
        </is>
      </c>
    </row>
    <row r="15">
      <c r="A15" s="4" t="n">
        <v>46315</v>
      </c>
      <c r="B15" s="5" t="inlineStr">
        <is>
          <t>Sim</t>
        </is>
      </c>
      <c r="C15" s="5" t="inlineStr">
        <is>
          <t>Entrada</t>
        </is>
      </c>
      <c r="D15" s="5" t="inlineStr">
        <is>
          <t>Gabe — 2ª parcela</t>
        </is>
      </c>
      <c r="E15" s="5" t="inlineStr">
        <is>
          <t>Cliente</t>
        </is>
      </c>
      <c r="F15" s="5" t="inlineStr">
        <is>
          <t>A definir</t>
        </is>
      </c>
      <c r="G15" s="6" t="n">
        <v>357.5</v>
      </c>
      <c r="H15" s="5" t="inlineStr">
        <is>
          <t>Previsto</t>
        </is>
      </c>
      <c r="I15" s="5" t="inlineStr">
        <is>
          <t>Sim</t>
        </is>
      </c>
      <c r="J15" s="7">
        <f>J14+IF(AND(H15="Realizado",I15="Sim"),IF(C15="Entrada",1,-1)*N(G15),0)</f>
        <v/>
      </c>
      <c r="K15" s="5" t="inlineStr">
        <is>
          <t>Contrato</t>
        </is>
      </c>
    </row>
    <row r="16">
      <c r="A16" s="4" t="n">
        <v>46322</v>
      </c>
      <c r="B16" s="5" t="inlineStr">
        <is>
          <t>Não</t>
        </is>
      </c>
      <c r="C16" s="5" t="inlineStr">
        <is>
          <t>Saída</t>
        </is>
      </c>
      <c r="D16" s="5" t="inlineStr">
        <is>
          <t>Custos do bot do Gabe (Gemini etc.)</t>
        </is>
      </c>
      <c r="E16" s="5" t="inlineStr">
        <is>
          <t>IA / API</t>
        </is>
      </c>
      <c r="F16" s="5" t="inlineStr">
        <is>
          <t>Cartão Lucas</t>
        </is>
      </c>
      <c r="G16" s="8" t="n"/>
      <c r="H16" s="5" t="inlineStr">
        <is>
          <t>Previsto</t>
        </is>
      </c>
      <c r="I16" s="5" t="inlineStr">
        <is>
          <t>Sim</t>
        </is>
      </c>
      <c r="J16" s="7">
        <f>J15+IF(AND(H16="Realizado",I16="Sim"),IF(C16="Entrada",1,-1)*N(G16),0)</f>
        <v/>
      </c>
      <c r="K16" s="5" t="inlineStr">
        <is>
          <t>Entra na fatura que fecha 27/10 e vence 10/11</t>
        </is>
      </c>
    </row>
    <row r="17">
      <c r="A17" s="4" t="n">
        <v>46346</v>
      </c>
      <c r="B17" s="5" t="inlineStr">
        <is>
          <t>Sim</t>
        </is>
      </c>
      <c r="C17" s="5" t="inlineStr">
        <is>
          <t>Entrada</t>
        </is>
      </c>
      <c r="D17" s="5" t="inlineStr">
        <is>
          <t>Gabe — 3ª parcela</t>
        </is>
      </c>
      <c r="E17" s="5" t="inlineStr">
        <is>
          <t>Cliente</t>
        </is>
      </c>
      <c r="F17" s="5" t="inlineStr">
        <is>
          <t>A definir</t>
        </is>
      </c>
      <c r="G17" s="6" t="n">
        <v>357.5</v>
      </c>
      <c r="H17" s="5" t="inlineStr">
        <is>
          <t>Previsto</t>
        </is>
      </c>
      <c r="I17" s="5" t="inlineStr">
        <is>
          <t>Sim</t>
        </is>
      </c>
      <c r="J17" s="7">
        <f>J16+IF(AND(H17="Realizado",I17="Sim"),IF(C17="Entrada",1,-1)*N(G17),0)</f>
        <v/>
      </c>
      <c r="K17" s="5" t="inlineStr">
        <is>
          <t>Contrato</t>
        </is>
      </c>
    </row>
    <row r="18">
      <c r="A18" s="4" t="n">
        <v>46376</v>
      </c>
      <c r="B18" s="5" t="inlineStr">
        <is>
          <t>Sim</t>
        </is>
      </c>
      <c r="C18" s="5" t="inlineStr">
        <is>
          <t>Entrada</t>
        </is>
      </c>
      <c r="D18" s="5" t="inlineStr">
        <is>
          <t>Gabe — 4ª parcela</t>
        </is>
      </c>
      <c r="E18" s="5" t="inlineStr">
        <is>
          <t>Cliente</t>
        </is>
      </c>
      <c r="F18" s="5" t="inlineStr">
        <is>
          <t>A definir</t>
        </is>
      </c>
      <c r="G18" s="6" t="n">
        <v>357.5</v>
      </c>
      <c r="H18" s="5" t="inlineStr">
        <is>
          <t>Previsto</t>
        </is>
      </c>
      <c r="I18" s="5" t="inlineStr">
        <is>
          <t>Sim</t>
        </is>
      </c>
      <c r="J18" s="7">
        <f>J17+IF(AND(H18="Realizado",I18="Sim"),IF(C18="Entrada",1,-1)*N(G18),0)</f>
        <v/>
      </c>
      <c r="K18" s="5" t="inlineStr">
        <is>
          <t>Contrato</t>
        </is>
      </c>
    </row>
    <row r="19">
      <c r="A19" s="4" t="n">
        <v>46376</v>
      </c>
      <c r="B19" s="5" t="inlineStr">
        <is>
          <t>Não</t>
        </is>
      </c>
      <c r="C19" s="5" t="inlineStr">
        <is>
          <t>Entrada</t>
        </is>
      </c>
      <c r="D19" s="5" t="inlineStr">
        <is>
          <t>Gabe — 1ª mensalidade de manutenção</t>
        </is>
      </c>
      <c r="E19" s="5" t="inlineStr">
        <is>
          <t>Cliente</t>
        </is>
      </c>
      <c r="F19" s="5" t="inlineStr">
        <is>
          <t>A definir</t>
        </is>
      </c>
      <c r="G19" s="6" t="n">
        <v>119</v>
      </c>
      <c r="H19" s="5" t="inlineStr">
        <is>
          <t>Previsto</t>
        </is>
      </c>
      <c r="I19" s="5" t="inlineStr">
        <is>
          <t>Sim</t>
        </is>
      </c>
      <c r="J19" s="7">
        <f>J18+IF(AND(H19="Realizado",I19="Sim"),IF(C19="Entrada",1,-1)*N(G19),0)</f>
        <v/>
      </c>
      <c r="K19" s="5" t="inlineStr">
        <is>
          <t>≈10% de R$ 1.190 — confirmar base no contrato; pode ser renegociada</t>
        </is>
      </c>
    </row>
  </sheetData>
  <dataValidations count="4">
    <dataValidation sqref="C5:C200" showDropDown="0" showInputMessage="0" showErrorMessage="0" allowBlank="1" type="list">
      <formula1>"Entrada,Saída"</formula1>
    </dataValidation>
    <dataValidation sqref="H5:H200" showDropDown="0" showInputMessage="0" showErrorMessage="0" allowBlank="1" type="list">
      <formula1>"Realizado,Previsto"</formula1>
    </dataValidation>
    <dataValidation sqref="I5:I200" showDropDown="0" showInputMessage="0" showErrorMessage="0" allowBlank="1" type="list">
      <formula1>"Sim,Não"</formula1>
    </dataValidation>
    <dataValidation sqref="B5:B200" showDropDown="0" showInputMessage="0" showErrorMessage="0" allowBlank="1" type="list">
      <formula1>"Sim,Não"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</cols>
  <sheetData>
    <row r="1">
      <c r="A1" s="1" t="inlineStr">
        <is>
          <t>Resumo</t>
        </is>
      </c>
    </row>
    <row r="3">
      <c r="A3" s="9" t="inlineStr">
        <is>
          <t>Entradas realizadas</t>
        </is>
      </c>
      <c r="B3" s="10">
        <f>SUMIFS('Lançamentos'!$G$5:$G$200,'Lançamentos'!$C$5:$C$200,"Entrada",'Lançamentos'!$H$5:$H$200,"Realizado",'Lançamentos'!$I$5:$I$200,"Sim")</f>
        <v/>
      </c>
    </row>
    <row r="4">
      <c r="A4" s="9" t="inlineStr">
        <is>
          <t>Saídas realizadas (empresa)</t>
        </is>
      </c>
      <c r="B4" s="10">
        <f>SUMIFS('Lançamentos'!$G$5:$G$200,'Lançamentos'!$C$5:$C$200,"Saída",'Lançamentos'!$H$5:$H$200,"Realizado",'Lançamentos'!$I$5:$I$200,"Sim")</f>
        <v/>
      </c>
    </row>
    <row r="5">
      <c r="A5" s="11" t="inlineStr">
        <is>
          <t>Saldo realizado (empresa)</t>
        </is>
      </c>
      <c r="B5" s="12">
        <f>B3-B4</f>
        <v/>
      </c>
    </row>
    <row r="6">
      <c r="A6" s="9" t="inlineStr"/>
    </row>
    <row r="7">
      <c r="A7" s="9" t="inlineStr">
        <is>
          <t>Claude pago pelos sócios (fora do saldo)</t>
        </is>
      </c>
      <c r="B7" s="10">
        <f>SUMIFS('Lançamentos'!$G$5:$G$200,'Lançamentos'!$C$5:$C$200,"Saída",'Lançamentos'!$I$5:$I$200,"Não")</f>
        <v/>
      </c>
    </row>
    <row r="8">
      <c r="A8" s="11" t="inlineStr">
        <is>
          <t>Saldo se Claude fosse da empresa</t>
        </is>
      </c>
      <c r="B8" s="12">
        <f>B5-B7</f>
        <v/>
      </c>
    </row>
    <row r="9">
      <c r="A9" s="9" t="inlineStr"/>
    </row>
    <row r="10">
      <c r="A10" s="9" t="inlineStr">
        <is>
          <t>Entradas previstas</t>
        </is>
      </c>
      <c r="B10" s="10">
        <f>SUMIFS('Lançamentos'!$G$5:$G$200,'Lançamentos'!$C$5:$C$200,"Entrada",'Lançamentos'!$H$5:$H$200,"Previsto")</f>
        <v/>
      </c>
    </row>
    <row r="11">
      <c r="A11" s="9" t="inlineStr">
        <is>
          <t>Saídas previstas (valores conhecidos)</t>
        </is>
      </c>
      <c r="B11" s="10">
        <f>SUMIFS('Lançamentos'!$G$5:$G$200,'Lançamentos'!$C$5:$C$200,"Saída",'Lançamentos'!$H$5:$H$200,"Previsto")</f>
        <v/>
      </c>
    </row>
    <row r="12">
      <c r="A12" s="11" t="inlineStr">
        <is>
          <t>Saldo projetado até dez/2026</t>
        </is>
      </c>
      <c r="B12" s="12">
        <f>B5+B10-B11</f>
        <v/>
      </c>
    </row>
    <row r="13">
      <c r="A13" s="9" t="inlineStr"/>
    </row>
    <row r="14">
      <c r="A14" s="9" t="inlineStr">
        <is>
          <t>Lançamentos sem valor (preencher)</t>
        </is>
      </c>
      <c r="B14" s="13">
        <f>COUNTIFS('Lançamentos'!$D$5:$D$200,"&lt;&gt;",'Lançamentos'!$G$5:$G$200,"")</f>
        <v/>
      </c>
    </row>
    <row r="17">
      <c r="A17" s="2" t="inlineStr">
        <is>
          <t>Saldo projetado não inclui custos ainda sem valor (bot do Gabe, Gemini, chip do Gabe, servidor).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2026-10-10T16:43:55Z</dcterms:created>
  <dcterms:modified xsi:type="dcterms:W3CDTF">2026-10-10T16:43:55Z</dcterms:modified>
</cp:coreProperties>
</file>